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ali\Downloads\"/>
    </mc:Choice>
  </mc:AlternateContent>
  <xr:revisionPtr revIDLastSave="0" documentId="8_{99C7B0D6-777F-44D2-80A4-993D4A44D858}" xr6:coauthVersionLast="47" xr6:coauthVersionMax="47" xr10:uidLastSave="{00000000-0000-0000-0000-000000000000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2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<sst xmlns="http://schemas.openxmlformats.org/spreadsheetml/2006/main" count="2022" uniqueCount="324">
  <si>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</si>
  <si>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</si>
  <si>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</si>
  <si>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</si>
  <si>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</si>
  <si>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</si>
  <si>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</si>
  <si>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</si>
  <si>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</si>
  <si>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</si>
  <si>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</si>
  <si>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</si>
  <si>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</si>
  <si>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</si>
  <si>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</si>
  <si>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</si>
  <si>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</si>
  <si>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</si>
  <si>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</si>
  <si>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</si>
  <si>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</si>
  <si>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</si>
  <si>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</si>
  <si>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</si>
  <si>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</si>
  <si>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</si>
  <si>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</si>
  <si>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</si>
  <si>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</si>
  <si>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</si>
  <si>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</si>
  <si>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</si>
  <si>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</si>
  <si>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</si>
  <si>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</si>
  <si>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</si>
  <si>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</si>
  <si>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</si>
  <si>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</si>
  <si>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</si>
  <si>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</si>
  <si>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</si>
  <si>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</si>
  <si>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</si>
  <si>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</si>
  <si>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</si>
  <si>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</si>
  <si>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</si>
  <si>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</si>
  <si>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</si>
  <si>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</si>
  <si>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</si>
  <si>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</si>
  <si>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</si>
  <si>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</si>
  <si>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</si>
  <si>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</si>
  <si>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</si>
  <si>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</si>
  <si>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</si>
  <si>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</si>
  <si>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</si>
  <si>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</si>
  <si>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</si>
  <si>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</si>
  <si>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</si>
  <si>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</si>
  <si>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</si>
  <si>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</si>
  <si>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</si>
  <si>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</si>
  <si>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</si>
  <si>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</si>
  <si>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</si>
  <si>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</si>
  <si>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</si>
  <si>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</si>
  <si>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</si>
  <si>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</si>
  <si>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</si>
  <si>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</si>
  <si>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</si>
  <si>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</si>
  <si>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</si>
  <si>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</si>
  <si>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</si>
  <si>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</si>
  <si>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</si>
  <si>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</si>
  <si>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</si>
  <si>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</si>
  <si>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</si>
  <si>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</si>
  <si>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</si>
  <si>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</si>
  <si>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</si>
  <si>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</si>
  <si>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</si>
  <si>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</si>
  <si>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</si>
  <si>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</si>
  <si>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</si>
  <si>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</si>
  <si>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</si>
  <si>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</si>
  <si>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</si>
  <si>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</si>
  <si>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</si>
  <si>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</si>
  <si>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</si>
  <si>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</si>
  <si>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</si>
  <si>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</si>
  <si>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</si>
  <si>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</si>
  <si>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</si>
  <si>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</si>
  <si>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</si>
  <si>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</si>
  <si>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</si>
  <si>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</si>
  <si>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</si>
  <si>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</si>
  <si>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</si>
  <si>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</si>
  <si>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</si>
  <si>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</si>
  <si>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</si>
  <si>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</si>
  <si>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</si>
  <si>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</si>
  <si>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</si>
  <si>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</si>
  <si>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</si>
  <si>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</si>
  <si>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</si>
  <si>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</si>
  <si>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</si>
  <si>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</si>
  <si>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</si>
  <si>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</si>
  <si>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</si>
  <si>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</si>
  <si>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</si>
  <si>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</si>
  <si>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</si>
  <si>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</si>
  <si>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</si>
  <si>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</si>
  <si>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</si>
  <si>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</si>
  <si>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</si>
  <si>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</si>
  <si>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</si>
  <si>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</si>
  <si>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</si>
  <si>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</si>
  <si>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</si>
  <si>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</si>
  <si>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</si>
  <si>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</si>
  <si>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</si>
  <si>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</si>
  <si>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</si>
  <si>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</si>
  <si>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</si>
  <si>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</si>
  <si>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</si>
  <si>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</si>
  <si>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</si>
  <si>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</si>
  <si>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</si>
  <si>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</si>
  <si>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</si>
  <si>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</si>
  <si>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</si>
  <si>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</si>
  <si>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</si>
  <si>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</si>
  <si>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</si>
  <si>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</si>
  <si>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</si>
  <si>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</si>
  <si>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</si>
  <si>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</si>
  <si>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</si>
  <si>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</si>
  <si>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</si>
  <si>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</si>
  <si>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</si>
  <si>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</si>
  <si>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</si>
  <si>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</si>
  <si>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</si>
  <si>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</si>
  <si>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</si>
  <si>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</si>
  <si>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</si>
  <si>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</si>
  <si>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</si>
  <si>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</si>
  <si>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</si>
  <si>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</si>
  <si>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</si>
  <si>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</si>
  <si>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</si>
  <si>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</si>
  <si>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</si>
  <si>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</si>
  <si>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</si>
  <si>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</si>
  <si>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</si>
  <si>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</si>
  <si>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</si>
  <si>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</si>
  <si>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</si>
  <si>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</si>
  <si>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</si>
  <si>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</si>
  <si>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</si>
  <si>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</si>
  <si>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</si>
  <si>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</si>
  <si>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</si>
  <si>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</si>
  <si>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</si>
  <si>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</si>
  <si>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</si>
  <si>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</si>
  <si>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</si>
  <si>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</si>
  <si>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</si>
  <si>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</si>
  <si>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</si>
  <si>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</si>
  <si>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</si>
  <si>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</si>
  <si>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</si>
  <si>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</si>
  <si>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</si>
  <si>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</si>
  <si>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</si>
  <si>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</si>
  <si>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</si>
  <si>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</si>
  <si>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</si>
  <si>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</si>
  <si>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</si>
  <si>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</si>
  <si>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</si>
  <si>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</si>
  <si>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</si>
  <si>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</si>
  <si>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</si>
  <si>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</si>
  <si>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</si>
  <si>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</si>
  <si>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</si>
  <si>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</si>
  <si>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</si>
  <si>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</si>
  <si>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</si>
  <si>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</si>
  <si>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</si>
  <si>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</si>
  <si>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</si>
  <si>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</si>
  <si>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</si>
  <si>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</si>
  <si>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</si>
  <si>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</si>
  <si>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</si>
  <si>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</si>
  <si>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</si>
  <si>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</si>
  <si>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</si>
  <si>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</si>
  <si>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</si>
  <si>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</si>
  <si>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</si>
  <si>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</si>
  <si>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</si>
  <si>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</si>
  <si>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</si>
  <si>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</si>
  <si>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</si>
  <si>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</si>
  <si>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</si>
  <si>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</si>
  <si>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</si>
  <si>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</si>
  <si>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</si>
  <si>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</si>
  <si>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</si>
  <si>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</si>
  <si>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</si>
  <si>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</si>
  <si>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</si>
  <si>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</si>
  <si>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</si>
  <si>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</si>
  <si>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</si>
  <si>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</si>
  <si>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</si>
  <si>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</si>
  <si>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</si>
  <si>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</si>
  <si>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</si>
  <si>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</si>
  <si>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</si>
  <si>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</si>
  <si>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dados específica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</si>
  <si>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</si>
  <si>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</si>
  <si>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</si>
  <si>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</si>
  <si>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</si>
  <si>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#2AE6B1</t>
  </si>
  <si>
    <t>#E8E6E9</t>
  </si>
  <si>
    <t xml:space="preserve">XBOX GAME PASS SUBSCRIPTIONS SALES </t>
  </si>
  <si>
    <t>Pergunta de Negócio 3 - Total de vendas de Assinaturas do EA Play</t>
  </si>
  <si>
    <t>Soma de Minecraft Season Pass Price</t>
  </si>
  <si>
    <t>Soma de EA Play Season Pass</t>
  </si>
  <si>
    <t>Pergunta de Negócio 4 - Total de Vendas de Assinatura do Minecraft Season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</si>
</sst>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7" borderId="0" xfId="0" applyFont="1" applyFill="1"/>
    <xf numFmtId="0" fontId="1" fillId="0" borderId="2" xfId="1" applyBorder="1"/>
    <xf numFmtId="0" fontId="0" fillId="0" borderId="0" xfId="0" applyNumberFormat="1"/>
    <xf numFmtId="164" fontId="0" fillId="0" borderId="0" xfId="0" applyNumberFormat="1"/>
    <xf numFmtId="0" fontId="5" fillId="0" borderId="2" xfId="1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sz val="12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tyle1" pivot="0" table="0" count="10" xr9:uid="{AD7A3059-176E-4902-A795-DA7EA7136271}">
      <tableStyleElement type="wholeTable" dxfId="1"/>
      <tableStyleElement type="headerRow" dxfId="0"/>
    </tableStyle>
  </tableStyles>
  <colors>
    <mruColors>
      <color rgb="FF22C55E"/>
      <color rgb="FF2AE6B1"/>
      <color rgb="FFFFFFFF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tyle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5-48EF-9055-93681529A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3541104"/>
        <c:axId val="832634320"/>
      </c:barChart>
      <c:catAx>
        <c:axId val="51354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2634320"/>
        <c:crosses val="autoZero"/>
        <c:auto val="1"/>
        <c:lblAlgn val="ctr"/>
        <c:lblOffset val="100"/>
        <c:noMultiLvlLbl val="0"/>
      </c:catAx>
      <c:valAx>
        <c:axId val="83263432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1354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34803</xdr:colOff>
      <xdr:row>1</xdr:row>
      <xdr:rowOff>1</xdr:rowOff>
    </xdr:from>
    <xdr:to>
      <xdr:col>2</xdr:col>
      <xdr:colOff>489072</xdr:colOff>
      <xdr:row>3</xdr:row>
      <xdr:rowOff>47624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01D949C-23E0-4434-B30F-5C7C6E1187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5" t="19800" r="72772" b="19634"/>
        <a:stretch>
          <a:fillRect/>
        </a:stretch>
      </xdr:blipFill>
      <xdr:spPr>
        <a:xfrm>
          <a:off x="2213647" y="190501"/>
          <a:ext cx="692394" cy="750092"/>
        </a:xfrm>
        <a:prstGeom prst="rect">
          <a:avLst/>
        </a:prstGeom>
      </xdr:spPr>
    </xdr:pic>
    <xdr:clientData/>
  </xdr:twoCellAnchor>
  <xdr:twoCellAnchor editAs="absolute">
    <xdr:from>
      <xdr:col>0</xdr:col>
      <xdr:colOff>11905</xdr:colOff>
      <xdr:row>8</xdr:row>
      <xdr:rowOff>23812</xdr:rowOff>
    </xdr:from>
    <xdr:to>
      <xdr:col>0</xdr:col>
      <xdr:colOff>2166935</xdr:colOff>
      <xdr:row>22</xdr:row>
      <xdr:rowOff>95249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B6DF307-BEAB-4AFF-80CC-DFAD74986B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5" y="1833562"/>
              <a:ext cx="2155030" cy="27384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71437</xdr:colOff>
      <xdr:row>5</xdr:row>
      <xdr:rowOff>22620</xdr:rowOff>
    </xdr:from>
    <xdr:to>
      <xdr:col>10</xdr:col>
      <xdr:colOff>428624</xdr:colOff>
      <xdr:row>15</xdr:row>
      <xdr:rowOff>189309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73EB2223-AC1D-9B24-6AEF-854AADEC98CC}"/>
            </a:ext>
          </a:extLst>
        </xdr:cNvPr>
        <xdr:cNvGrpSpPr/>
      </xdr:nvGrpSpPr>
      <xdr:grpSpPr>
        <a:xfrm>
          <a:off x="2488406" y="1296589"/>
          <a:ext cx="5214937" cy="2035970"/>
          <a:chOff x="2655093" y="1285874"/>
          <a:chExt cx="5214937" cy="203597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E4D3B64-A8C2-E46B-3F18-44EF1BC130E5}"/>
              </a:ext>
            </a:extLst>
          </xdr:cNvPr>
          <xdr:cNvSpPr/>
        </xdr:nvSpPr>
        <xdr:spPr>
          <a:xfrm>
            <a:off x="2655093" y="1345406"/>
            <a:ext cx="5214937" cy="1976438"/>
          </a:xfrm>
          <a:prstGeom prst="roundRect">
            <a:avLst>
              <a:gd name="adj" fmla="val 1103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AA9E22E-98B1-4C4B-B70F-012A628D3901}"/>
              </a:ext>
            </a:extLst>
          </xdr:cNvPr>
          <xdr:cNvSpPr/>
        </xdr:nvSpPr>
        <xdr:spPr>
          <a:xfrm>
            <a:off x="3869529" y="1940719"/>
            <a:ext cx="3607595" cy="1067991"/>
          </a:xfrm>
          <a:prstGeom prst="roundRect">
            <a:avLst>
              <a:gd name="adj" fmla="val 1173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8446FF3-CCA9-44F7-9953-8FB9150FE8B7}" type="TxLink">
              <a:rPr lang="en-US" sz="40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R$ 990,00 </a:t>
            </a:fld>
            <a:endParaRPr lang="en-US" sz="40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9A0C43E9-7871-4A8C-89F9-C1B39C8863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40843" y="1869282"/>
            <a:ext cx="1219200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491177D5-1E1F-524C-CC31-583DFEDB9161}"/>
              </a:ext>
            </a:extLst>
          </xdr:cNvPr>
          <xdr:cNvSpPr/>
        </xdr:nvSpPr>
        <xdr:spPr>
          <a:xfrm>
            <a:off x="2655093" y="1285874"/>
            <a:ext cx="5214937" cy="535782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</a:t>
            </a:r>
            <a:r>
              <a:rPr lang="pt-BR" sz="14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</xdr:grpSp>
    <xdr:clientData/>
  </xdr:twoCellAnchor>
  <xdr:twoCellAnchor editAs="absolute">
    <xdr:from>
      <xdr:col>11</xdr:col>
      <xdr:colOff>92868</xdr:colOff>
      <xdr:row>5</xdr:row>
      <xdr:rowOff>22620</xdr:rowOff>
    </xdr:from>
    <xdr:to>
      <xdr:col>20</xdr:col>
      <xdr:colOff>9524</xdr:colOff>
      <xdr:row>15</xdr:row>
      <xdr:rowOff>189309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49D39326-725C-2723-06C7-F5E1CD738F1C}"/>
            </a:ext>
          </a:extLst>
        </xdr:cNvPr>
        <xdr:cNvGrpSpPr/>
      </xdr:nvGrpSpPr>
      <xdr:grpSpPr>
        <a:xfrm>
          <a:off x="7974806" y="1296589"/>
          <a:ext cx="5214937" cy="2035970"/>
          <a:chOff x="8272462" y="1284683"/>
          <a:chExt cx="5214937" cy="203597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5D043999-D4FD-49ED-8242-C420DF89235D}"/>
              </a:ext>
            </a:extLst>
          </xdr:cNvPr>
          <xdr:cNvGrpSpPr/>
        </xdr:nvGrpSpPr>
        <xdr:grpSpPr>
          <a:xfrm>
            <a:off x="8272462" y="1284683"/>
            <a:ext cx="5214937" cy="2035970"/>
            <a:chOff x="2655093" y="1285874"/>
            <a:chExt cx="5214937" cy="2035970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F3D50D36-D1C0-57E6-F67B-EC4E1CEDD17E}"/>
                </a:ext>
              </a:extLst>
            </xdr:cNvPr>
            <xdr:cNvSpPr/>
          </xdr:nvSpPr>
          <xdr:spPr>
            <a:xfrm>
              <a:off x="2655093" y="1345406"/>
              <a:ext cx="5214937" cy="1976438"/>
            </a:xfrm>
            <a:prstGeom prst="roundRect">
              <a:avLst>
                <a:gd name="adj" fmla="val 1103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E31F61B1-196D-8E2A-3850-CF1AF840F038}"/>
                </a:ext>
              </a:extLst>
            </xdr:cNvPr>
            <xdr:cNvSpPr/>
          </xdr:nvSpPr>
          <xdr:spPr>
            <a:xfrm>
              <a:off x="3869529" y="1940719"/>
              <a:ext cx="3607595" cy="1067991"/>
            </a:xfrm>
            <a:prstGeom prst="roundRect">
              <a:avLst>
                <a:gd name="adj" fmla="val 1173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4239431-BC67-4F18-8717-EDD7EE52A1CB}" type="TxLink">
                <a:rPr lang="en-US" sz="40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R$ 1.140,00 </a:t>
              </a:fld>
              <a:endParaRPr lang="en-US" sz="115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AB697CDA-5B22-0E47-AC97-F53CDC016ADF}"/>
                </a:ext>
              </a:extLst>
            </xdr:cNvPr>
            <xdr:cNvSpPr/>
          </xdr:nvSpPr>
          <xdr:spPr>
            <a:xfrm>
              <a:off x="2655093" y="1285874"/>
              <a:ext cx="5214937" cy="535782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4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4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C282A661-47E8-47C0-B518-B3E9B6329777}"/>
              </a:ext>
            </a:extLst>
          </xdr:cNvPr>
          <xdr:cNvGrpSpPr/>
        </xdr:nvGrpSpPr>
        <xdr:grpSpPr>
          <a:xfrm>
            <a:off x="8486775" y="2035969"/>
            <a:ext cx="1407319" cy="761999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6508A259-3DDC-1F30-6F98-C0E03351616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F98A0A8C-8E62-7993-AAD5-36041F995E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71437</xdr:colOff>
      <xdr:row>17</xdr:row>
      <xdr:rowOff>71436</xdr:rowOff>
    </xdr:from>
    <xdr:to>
      <xdr:col>20</xdr:col>
      <xdr:colOff>23812</xdr:colOff>
      <xdr:row>38</xdr:row>
      <xdr:rowOff>107156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C193B83F-7BBA-5F52-CD09-686B79FE22A4}"/>
            </a:ext>
          </a:extLst>
        </xdr:cNvPr>
        <xdr:cNvGrpSpPr/>
      </xdr:nvGrpSpPr>
      <xdr:grpSpPr>
        <a:xfrm>
          <a:off x="2488406" y="3595686"/>
          <a:ext cx="10715625" cy="4036220"/>
          <a:chOff x="2595562" y="3726655"/>
          <a:chExt cx="11049000" cy="3679032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86D2A277-4B87-D53D-5FCC-83B7194BF836}"/>
              </a:ext>
            </a:extLst>
          </xdr:cNvPr>
          <xdr:cNvGrpSpPr/>
        </xdr:nvGrpSpPr>
        <xdr:grpSpPr>
          <a:xfrm>
            <a:off x="2595562" y="3881437"/>
            <a:ext cx="11049000" cy="3524250"/>
            <a:chOff x="2845593" y="1416844"/>
            <a:chExt cx="5631657" cy="350043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2C2A0B1-303D-1E24-E8C2-57A1BB257105}"/>
                </a:ext>
              </a:extLst>
            </xdr:cNvPr>
            <xdr:cNvSpPr/>
          </xdr:nvSpPr>
          <xdr:spPr>
            <a:xfrm>
              <a:off x="2845593" y="1416844"/>
              <a:ext cx="5631657" cy="3500437"/>
            </a:xfrm>
            <a:prstGeom prst="roundRect">
              <a:avLst>
                <a:gd name="adj" fmla="val 918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5CABA06-6536-4F4A-AEFB-8AA0C3E06A49}"/>
                </a:ext>
              </a:extLst>
            </xdr:cNvPr>
            <xdr:cNvGraphicFramePr>
              <a:graphicFrameLocks/>
            </xdr:cNvGraphicFramePr>
          </xdr:nvGraphicFramePr>
          <xdr:xfrm>
            <a:off x="3000375" y="1643063"/>
            <a:ext cx="5333999" cy="31432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00D8DF72-C5A1-45DC-8B77-FE6409FFB91C}"/>
              </a:ext>
            </a:extLst>
          </xdr:cNvPr>
          <xdr:cNvSpPr/>
        </xdr:nvSpPr>
        <xdr:spPr>
          <a:xfrm>
            <a:off x="2595562" y="3726655"/>
            <a:ext cx="11048999" cy="642938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</xdr:grpSp>
    <xdr:clientData/>
  </xdr:twoCellAnchor>
  <xdr:twoCellAnchor>
    <xdr:from>
      <xdr:col>0</xdr:col>
      <xdr:colOff>392906</xdr:colOff>
      <xdr:row>0</xdr:row>
      <xdr:rowOff>83343</xdr:rowOff>
    </xdr:from>
    <xdr:to>
      <xdr:col>0</xdr:col>
      <xdr:colOff>1266826</xdr:colOff>
      <xdr:row>3</xdr:row>
      <xdr:rowOff>47624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84F108F6-4B29-4FE5-98E7-66CA91F920D9}"/>
            </a:ext>
          </a:extLst>
        </xdr:cNvPr>
        <xdr:cNvSpPr/>
      </xdr:nvSpPr>
      <xdr:spPr>
        <a:xfrm>
          <a:off x="392906" y="83343"/>
          <a:ext cx="873920" cy="8572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119062</xdr:colOff>
      <xdr:row>4</xdr:row>
      <xdr:rowOff>35718</xdr:rowOff>
    </xdr:from>
    <xdr:to>
      <xdr:col>0</xdr:col>
      <xdr:colOff>2035969</xdr:colOff>
      <xdr:row>5</xdr:row>
      <xdr:rowOff>154781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F18F8622-C61B-6C64-678D-7288D6EFE0E4}"/>
            </a:ext>
          </a:extLst>
        </xdr:cNvPr>
        <xdr:cNvSpPr/>
      </xdr:nvSpPr>
      <xdr:spPr>
        <a:xfrm>
          <a:off x="119062" y="1119187"/>
          <a:ext cx="1916907" cy="3095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400" b="1" baseline="0">
              <a:latin typeface="Segoe UI" panose="020B0502040204020203" pitchFamily="34" charset="0"/>
              <a:cs typeface="Segoe UI" panose="020B0502040204020203" pitchFamily="34" charset="0"/>
            </a:rPr>
            <a:t> vinda, Lilian</a:t>
          </a:r>
          <a:endParaRPr lang="pt-BR" sz="14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71436</xdr:colOff>
      <xdr:row>2</xdr:row>
      <xdr:rowOff>142876</xdr:rowOff>
    </xdr:from>
    <xdr:to>
      <xdr:col>12</xdr:col>
      <xdr:colOff>142875</xdr:colOff>
      <xdr:row>4</xdr:row>
      <xdr:rowOff>59533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7C6DF7E3-61AD-4BB3-B83D-B8283CE93392}"/>
            </a:ext>
          </a:extLst>
        </xdr:cNvPr>
        <xdr:cNvSpPr/>
      </xdr:nvSpPr>
      <xdr:spPr>
        <a:xfrm>
          <a:off x="2488405" y="833439"/>
          <a:ext cx="5976939" cy="3095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</a:t>
          </a:r>
          <a:r>
            <a:rPr lang="pt-BR" sz="1200" b="0" baseline="0">
              <a:solidFill>
                <a:schemeClr val="bg2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: 01/01/2024 - 31/12/2024 I  Update date: 18/10/2026 19:45:00</a:t>
          </a:r>
          <a:endParaRPr lang="pt-BR" sz="1200" b="0">
            <a:solidFill>
              <a:schemeClr val="bg2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lita Moura" refreshedDate="46313.778509953707" createdVersion="8" refreshedVersion="8" minRefreshableVersion="3" recordCount="295" xr:uid="{45200B73-0F60-44A0-A5CF-A739BAA8384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922678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DA870-14EE-439C-B791-21E1C0E354AB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3:C3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F2457-A81D-420F-9977-7BBDFA36D46C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DDE38-445D-4B48-AE69-02C823239500}" name="tbl_a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789315F-1D20-42D2-8BA8-813C9E8791AE}" sourceName="Subscription Type">
  <pivotTables>
    <pivotTable tabId="3" name="tbl_anual_total"/>
    <pivotTable tabId="3" name="tbl_easeasonpass_total"/>
    <pivotTable tabId="3" name="Tabela dinâmica2"/>
  </pivotTables>
  <data>
    <tabular pivotCacheId="39226782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C7C2391-7E7C-4B53-A826-3C4531B26450}" cache="SegmentaçãodeDados_Subscription_Type" caption="Subscription Type" style="Style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6</v>
      </c>
      <c r="E5" s="7" t="s">
        <v>318</v>
      </c>
      <c r="F5" t="s">
        <v>5</v>
      </c>
    </row>
    <row r="6" spans="2:16" x14ac:dyDescent="0.25">
      <c r="B6" s="4" t="s">
        <v>3</v>
      </c>
      <c r="C6" t="s">
        <v>6</v>
      </c>
    </row>
    <row r="7" spans="2:16" x14ac:dyDescent="0.25">
      <c r="B7" s="5" t="s">
        <v>317</v>
      </c>
      <c r="C7" t="s">
        <v>7</v>
      </c>
    </row>
    <row r="8" spans="2:16" x14ac:dyDescent="0.25">
      <c r="B8" s="6" t="s">
        <v>4</v>
      </c>
      <c r="C8" t="s">
        <v>7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8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310</v>
      </c>
      <c r="G1" s="9" t="s">
        <v>14</v>
      </c>
      <c r="H1" s="9" t="s">
        <v>307</v>
      </c>
      <c r="I1" s="9" t="s">
        <v>308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16.5" customHeight="1" x14ac:dyDescent="0.25">
      <c r="A2" s="8">
        <v>3231</v>
      </c>
      <c r="B2" s="8" t="s">
        <v>15</v>
      </c>
      <c r="C2" s="8" t="s">
        <v>16</v>
      </c>
      <c r="D2" s="10">
        <v>45292</v>
      </c>
      <c r="E2" s="8" t="s">
        <v>17</v>
      </c>
      <c r="F2" s="11">
        <v>15</v>
      </c>
      <c r="G2" s="8" t="s">
        <v>18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309</v>
      </c>
      <c r="J3" s="8" t="s">
        <v>21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309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26</v>
      </c>
      <c r="C5" s="8" t="s">
        <v>16</v>
      </c>
      <c r="D5" s="10">
        <v>45342</v>
      </c>
      <c r="E5" s="8" t="s">
        <v>21</v>
      </c>
      <c r="F5" s="11">
        <v>15</v>
      </c>
      <c r="G5" s="8" t="s">
        <v>18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309</v>
      </c>
      <c r="J6" s="8" t="s">
        <v>21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309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33</v>
      </c>
      <c r="C8" s="8" t="s">
        <v>16</v>
      </c>
      <c r="D8" s="10">
        <v>45354</v>
      </c>
      <c r="E8" s="8" t="s">
        <v>17</v>
      </c>
      <c r="F8" s="11">
        <v>15</v>
      </c>
      <c r="G8" s="8" t="s">
        <v>25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309</v>
      </c>
      <c r="J9" s="8" t="s">
        <v>21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35</v>
      </c>
      <c r="C10" s="8" t="s">
        <v>16</v>
      </c>
      <c r="D10" s="10">
        <v>45356</v>
      </c>
      <c r="E10" s="8" t="s">
        <v>21</v>
      </c>
      <c r="F10" s="11">
        <v>15</v>
      </c>
      <c r="G10" s="8" t="s">
        <v>18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309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309</v>
      </c>
      <c r="J12" s="8" t="s">
        <v>21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38</v>
      </c>
      <c r="C13" s="8" t="s">
        <v>16</v>
      </c>
      <c r="D13" s="10">
        <v>45359</v>
      </c>
      <c r="E13" s="8" t="s">
        <v>17</v>
      </c>
      <c r="F13" s="11">
        <v>15</v>
      </c>
      <c r="G13" s="8" t="s">
        <v>22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309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309</v>
      </c>
      <c r="J15" s="8" t="s">
        <v>21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41</v>
      </c>
      <c r="C16" s="8" t="s">
        <v>16</v>
      </c>
      <c r="D16" s="10">
        <v>45362</v>
      </c>
      <c r="E16" s="8" t="s">
        <v>21</v>
      </c>
      <c r="F16" s="11">
        <v>15</v>
      </c>
      <c r="G16" s="8" t="s">
        <v>18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309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309</v>
      </c>
      <c r="J18" s="8" t="s">
        <v>21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44</v>
      </c>
      <c r="C19" s="8" t="s">
        <v>16</v>
      </c>
      <c r="D19" s="10">
        <v>45365</v>
      </c>
      <c r="E19" s="8" t="s">
        <v>17</v>
      </c>
      <c r="F19" s="11">
        <v>15</v>
      </c>
      <c r="G19" s="8" t="s">
        <v>25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309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309</v>
      </c>
      <c r="J21" s="8" t="s">
        <v>21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47</v>
      </c>
      <c r="C22" s="8" t="s">
        <v>16</v>
      </c>
      <c r="D22" s="10">
        <v>45368</v>
      </c>
      <c r="E22" s="8" t="s">
        <v>21</v>
      </c>
      <c r="F22" s="11">
        <v>15</v>
      </c>
      <c r="G22" s="8" t="s">
        <v>18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309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309</v>
      </c>
      <c r="J24" s="8" t="s">
        <v>21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50</v>
      </c>
      <c r="C25" s="8" t="s">
        <v>16</v>
      </c>
      <c r="D25" s="10">
        <v>45371</v>
      </c>
      <c r="E25" s="8" t="s">
        <v>17</v>
      </c>
      <c r="F25" s="11">
        <v>15</v>
      </c>
      <c r="G25" s="8" t="s">
        <v>22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309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309</v>
      </c>
      <c r="J27" s="8" t="s">
        <v>21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53</v>
      </c>
      <c r="C28" s="8" t="s">
        <v>16</v>
      </c>
      <c r="D28" s="10">
        <v>45374</v>
      </c>
      <c r="E28" s="8" t="s">
        <v>21</v>
      </c>
      <c r="F28" s="11">
        <v>15</v>
      </c>
      <c r="G28" s="8" t="s">
        <v>18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309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309</v>
      </c>
      <c r="J30" s="8" t="s">
        <v>21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56</v>
      </c>
      <c r="C31" s="8" t="s">
        <v>16</v>
      </c>
      <c r="D31" s="10">
        <v>45377</v>
      </c>
      <c r="E31" s="8" t="s">
        <v>17</v>
      </c>
      <c r="F31" s="11">
        <v>15</v>
      </c>
      <c r="G31" s="8" t="s">
        <v>25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309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309</v>
      </c>
      <c r="J33" s="8" t="s">
        <v>21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59</v>
      </c>
      <c r="C34" s="8" t="s">
        <v>16</v>
      </c>
      <c r="D34" s="10">
        <v>45380</v>
      </c>
      <c r="E34" s="8" t="s">
        <v>21</v>
      </c>
      <c r="F34" s="11">
        <v>15</v>
      </c>
      <c r="G34" s="8" t="s">
        <v>18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309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309</v>
      </c>
      <c r="J36" s="8" t="s">
        <v>21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309</v>
      </c>
      <c r="J37" s="8" t="s">
        <v>21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63</v>
      </c>
      <c r="C38" s="8" t="s">
        <v>16</v>
      </c>
      <c r="D38" s="10">
        <v>45384</v>
      </c>
      <c r="E38" s="8" t="s">
        <v>21</v>
      </c>
      <c r="F38" s="11">
        <v>15</v>
      </c>
      <c r="G38" s="8" t="s">
        <v>25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309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309</v>
      </c>
      <c r="J40" s="8" t="s">
        <v>21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66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18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309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309</v>
      </c>
      <c r="J43" s="8" t="s">
        <v>21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69</v>
      </c>
      <c r="C44" s="8" t="s">
        <v>16</v>
      </c>
      <c r="D44" s="10">
        <v>45390</v>
      </c>
      <c r="E44" s="8" t="s">
        <v>21</v>
      </c>
      <c r="F44" s="11">
        <v>15</v>
      </c>
      <c r="G44" s="8" t="s">
        <v>25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309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309</v>
      </c>
      <c r="J46" s="8" t="s">
        <v>21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72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22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309</v>
      </c>
      <c r="J48" s="8" t="s">
        <v>17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309</v>
      </c>
      <c r="J49" s="8" t="s">
        <v>21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75</v>
      </c>
      <c r="C50" s="8" t="s">
        <v>16</v>
      </c>
      <c r="D50" s="10">
        <v>45396</v>
      </c>
      <c r="E50" s="8" t="s">
        <v>21</v>
      </c>
      <c r="F50" s="11">
        <v>15</v>
      </c>
      <c r="G50" s="8" t="s">
        <v>18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309</v>
      </c>
      <c r="J51" s="8" t="s">
        <v>17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309</v>
      </c>
      <c r="J52" s="8" t="s">
        <v>21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78</v>
      </c>
      <c r="C53" s="8" t="s">
        <v>16</v>
      </c>
      <c r="D53" s="10">
        <v>45399</v>
      </c>
      <c r="E53" s="8" t="s">
        <v>17</v>
      </c>
      <c r="F53" s="11">
        <v>15</v>
      </c>
      <c r="G53" s="8" t="s">
        <v>25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309</v>
      </c>
      <c r="J54" s="8" t="s">
        <v>17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309</v>
      </c>
      <c r="J55" s="8" t="s">
        <v>21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81</v>
      </c>
      <c r="C56" s="8" t="s">
        <v>16</v>
      </c>
      <c r="D56" s="10">
        <v>45402</v>
      </c>
      <c r="E56" s="8" t="s">
        <v>21</v>
      </c>
      <c r="F56" s="11">
        <v>15</v>
      </c>
      <c r="G56" s="8" t="s">
        <v>18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309</v>
      </c>
      <c r="J57" s="8" t="s">
        <v>17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309</v>
      </c>
      <c r="J58" s="8" t="s">
        <v>21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84</v>
      </c>
      <c r="C59" s="8" t="s">
        <v>16</v>
      </c>
      <c r="D59" s="10">
        <v>45405</v>
      </c>
      <c r="E59" s="8" t="s">
        <v>17</v>
      </c>
      <c r="F59" s="11">
        <v>15</v>
      </c>
      <c r="G59" s="8" t="s">
        <v>22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309</v>
      </c>
      <c r="J60" s="8" t="s">
        <v>17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309</v>
      </c>
      <c r="J61" s="8" t="s">
        <v>21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87</v>
      </c>
      <c r="C62" s="8" t="s">
        <v>16</v>
      </c>
      <c r="D62" s="10">
        <v>45408</v>
      </c>
      <c r="E62" s="8" t="s">
        <v>21</v>
      </c>
      <c r="F62" s="11">
        <v>15</v>
      </c>
      <c r="G62" s="8" t="s">
        <v>18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309</v>
      </c>
      <c r="J63" s="8" t="s">
        <v>17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309</v>
      </c>
      <c r="J64" s="8" t="s">
        <v>21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90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25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309</v>
      </c>
      <c r="J66" s="8" t="s">
        <v>17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309</v>
      </c>
      <c r="J67" s="8" t="s">
        <v>21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93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25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309</v>
      </c>
      <c r="J69" s="8" t="s">
        <v>17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309</v>
      </c>
      <c r="J70" s="8" t="s">
        <v>21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96</v>
      </c>
      <c r="C71" s="8" t="s">
        <v>16</v>
      </c>
      <c r="D71" s="10">
        <v>45417</v>
      </c>
      <c r="E71" s="8" t="s">
        <v>21</v>
      </c>
      <c r="F71" s="11">
        <v>15</v>
      </c>
      <c r="G71" s="8" t="s">
        <v>18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309</v>
      </c>
      <c r="J72" s="8" t="s">
        <v>17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309</v>
      </c>
      <c r="J73" s="8" t="s">
        <v>21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99</v>
      </c>
      <c r="C74" s="8" t="s">
        <v>16</v>
      </c>
      <c r="D74" s="10">
        <v>45420</v>
      </c>
      <c r="E74" s="8" t="s">
        <v>17</v>
      </c>
      <c r="F74" s="11">
        <v>15</v>
      </c>
      <c r="G74" s="8" t="s">
        <v>25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309</v>
      </c>
      <c r="J75" s="8" t="s">
        <v>17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309</v>
      </c>
      <c r="J76" s="8" t="s">
        <v>21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102</v>
      </c>
      <c r="C77" s="8" t="s">
        <v>16</v>
      </c>
      <c r="D77" s="10">
        <v>45423</v>
      </c>
      <c r="E77" s="8" t="s">
        <v>21</v>
      </c>
      <c r="F77" s="11">
        <v>15</v>
      </c>
      <c r="G77" s="8" t="s">
        <v>22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309</v>
      </c>
      <c r="J78" s="8" t="s">
        <v>17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309</v>
      </c>
      <c r="J79" s="8" t="s">
        <v>21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105</v>
      </c>
      <c r="C80" s="8" t="s">
        <v>16</v>
      </c>
      <c r="D80" s="10">
        <v>45426</v>
      </c>
      <c r="E80" s="8" t="s">
        <v>17</v>
      </c>
      <c r="F80" s="11">
        <v>15</v>
      </c>
      <c r="G80" s="8" t="s">
        <v>18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309</v>
      </c>
      <c r="J81" s="8" t="s">
        <v>17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309</v>
      </c>
      <c r="J82" s="8" t="s">
        <v>21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108</v>
      </c>
      <c r="C83" s="8" t="s">
        <v>16</v>
      </c>
      <c r="D83" s="10">
        <v>45429</v>
      </c>
      <c r="E83" s="8" t="s">
        <v>21</v>
      </c>
      <c r="F83" s="11">
        <v>15</v>
      </c>
      <c r="G83" s="8" t="s">
        <v>25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309</v>
      </c>
      <c r="J84" s="8" t="s">
        <v>17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309</v>
      </c>
      <c r="J85" s="8" t="s">
        <v>21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111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18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309</v>
      </c>
      <c r="J87" s="8" t="s">
        <v>17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309</v>
      </c>
      <c r="J88" s="8" t="s">
        <v>21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114</v>
      </c>
      <c r="C89" s="8" t="s">
        <v>16</v>
      </c>
      <c r="D89" s="10">
        <v>45435</v>
      </c>
      <c r="E89" s="8" t="s">
        <v>21</v>
      </c>
      <c r="F89" s="11">
        <v>15</v>
      </c>
      <c r="G89" s="8" t="s">
        <v>22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309</v>
      </c>
      <c r="J90" s="8" t="s">
        <v>17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309</v>
      </c>
      <c r="J91" s="8" t="s">
        <v>21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117</v>
      </c>
      <c r="C92" s="8" t="s">
        <v>16</v>
      </c>
      <c r="D92" s="10">
        <v>45438</v>
      </c>
      <c r="E92" s="8" t="s">
        <v>17</v>
      </c>
      <c r="F92" s="11">
        <v>15</v>
      </c>
      <c r="G92" s="8" t="s">
        <v>18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309</v>
      </c>
      <c r="J93" s="8" t="s">
        <v>17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309</v>
      </c>
      <c r="J94" s="8" t="s">
        <v>21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120</v>
      </c>
      <c r="C95" s="8" t="s">
        <v>16</v>
      </c>
      <c r="D95" s="10">
        <v>45441</v>
      </c>
      <c r="E95" s="8" t="s">
        <v>21</v>
      </c>
      <c r="F95" s="11">
        <v>15</v>
      </c>
      <c r="G95" s="8" t="s">
        <v>25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309</v>
      </c>
      <c r="J96" s="8" t="s">
        <v>17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309</v>
      </c>
      <c r="J97" s="8" t="s">
        <v>21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123</v>
      </c>
      <c r="C98" s="8" t="s">
        <v>16</v>
      </c>
      <c r="D98" s="10">
        <v>45444</v>
      </c>
      <c r="E98" s="8" t="s">
        <v>17</v>
      </c>
      <c r="F98" s="11">
        <v>15</v>
      </c>
      <c r="G98" s="8" t="s">
        <v>18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309</v>
      </c>
      <c r="J99" s="8" t="s">
        <v>17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309</v>
      </c>
      <c r="J100" s="8" t="s">
        <v>21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21</v>
      </c>
      <c r="F101" s="11">
        <v>15</v>
      </c>
      <c r="G101" s="8" t="s">
        <v>18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309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309</v>
      </c>
      <c r="J103" s="8" t="s">
        <v>21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129</v>
      </c>
      <c r="C104" s="8" t="s">
        <v>16</v>
      </c>
      <c r="D104" s="10">
        <v>45450</v>
      </c>
      <c r="E104" s="8" t="s">
        <v>17</v>
      </c>
      <c r="F104" s="11">
        <v>15</v>
      </c>
      <c r="G104" s="8" t="s">
        <v>25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309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309</v>
      </c>
      <c r="J106" s="8" t="s">
        <v>21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309</v>
      </c>
      <c r="J107" s="8" t="s">
        <v>21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133</v>
      </c>
      <c r="C108" s="8" t="s">
        <v>16</v>
      </c>
      <c r="D108" s="10">
        <v>45454</v>
      </c>
      <c r="E108" s="8" t="s">
        <v>21</v>
      </c>
      <c r="F108" s="11">
        <v>15</v>
      </c>
      <c r="G108" s="8" t="s">
        <v>25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309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309</v>
      </c>
      <c r="J110" s="8" t="s">
        <v>21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136</v>
      </c>
      <c r="C111" s="8" t="s">
        <v>16</v>
      </c>
      <c r="D111" s="10">
        <v>45457</v>
      </c>
      <c r="E111" s="8" t="s">
        <v>17</v>
      </c>
      <c r="F111" s="11">
        <v>15</v>
      </c>
      <c r="G111" s="8" t="s">
        <v>18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309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309</v>
      </c>
      <c r="J113" s="8" t="s">
        <v>21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139</v>
      </c>
      <c r="C114" s="8" t="s">
        <v>16</v>
      </c>
      <c r="D114" s="10">
        <v>45460</v>
      </c>
      <c r="E114" s="8" t="s">
        <v>21</v>
      </c>
      <c r="F114" s="11">
        <v>15</v>
      </c>
      <c r="G114" s="8" t="s">
        <v>25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309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309</v>
      </c>
      <c r="J116" s="8" t="s">
        <v>21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142</v>
      </c>
      <c r="C117" s="8" t="s">
        <v>16</v>
      </c>
      <c r="D117" s="10">
        <v>45463</v>
      </c>
      <c r="E117" s="8" t="s">
        <v>17</v>
      </c>
      <c r="F117" s="11">
        <v>15</v>
      </c>
      <c r="G117" s="8" t="s">
        <v>22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309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309</v>
      </c>
      <c r="J119" s="8" t="s">
        <v>21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120</v>
      </c>
      <c r="C120" s="8" t="s">
        <v>16</v>
      </c>
      <c r="D120" s="10">
        <v>45466</v>
      </c>
      <c r="E120" s="8" t="s">
        <v>21</v>
      </c>
      <c r="F120" s="11">
        <v>15</v>
      </c>
      <c r="G120" s="8" t="s">
        <v>18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309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309</v>
      </c>
      <c r="J122" s="8" t="s">
        <v>21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147</v>
      </c>
      <c r="C123" s="8" t="s">
        <v>16</v>
      </c>
      <c r="D123" s="10">
        <v>45469</v>
      </c>
      <c r="E123" s="8" t="s">
        <v>17</v>
      </c>
      <c r="F123" s="11">
        <v>15</v>
      </c>
      <c r="G123" s="8" t="s">
        <v>25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309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309</v>
      </c>
      <c r="J125" s="8" t="s">
        <v>21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150</v>
      </c>
      <c r="C126" s="8" t="s">
        <v>16</v>
      </c>
      <c r="D126" s="10">
        <v>45472</v>
      </c>
      <c r="E126" s="8" t="s">
        <v>21</v>
      </c>
      <c r="F126" s="11">
        <v>15</v>
      </c>
      <c r="G126" s="8" t="s">
        <v>18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309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309</v>
      </c>
      <c r="J128" s="8" t="s">
        <v>21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153</v>
      </c>
      <c r="C129" s="8" t="s">
        <v>16</v>
      </c>
      <c r="D129" s="10">
        <v>45475</v>
      </c>
      <c r="E129" s="8" t="s">
        <v>17</v>
      </c>
      <c r="F129" s="11">
        <v>15</v>
      </c>
      <c r="G129" s="8" t="s">
        <v>22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309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309</v>
      </c>
      <c r="J131" s="8" t="s">
        <v>21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156</v>
      </c>
      <c r="C132" s="8" t="s">
        <v>16</v>
      </c>
      <c r="D132" s="10">
        <v>45478</v>
      </c>
      <c r="E132" s="8" t="s">
        <v>21</v>
      </c>
      <c r="F132" s="11">
        <v>15</v>
      </c>
      <c r="G132" s="8" t="s">
        <v>18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309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309</v>
      </c>
      <c r="J134" s="8" t="s">
        <v>21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159</v>
      </c>
      <c r="C135" s="8" t="s">
        <v>16</v>
      </c>
      <c r="D135" s="10">
        <v>45481</v>
      </c>
      <c r="E135" s="8" t="s">
        <v>17</v>
      </c>
      <c r="F135" s="11">
        <v>15</v>
      </c>
      <c r="G135" s="8" t="s">
        <v>25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309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309</v>
      </c>
      <c r="J137" s="8" t="s">
        <v>21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21</v>
      </c>
      <c r="F138" s="11">
        <v>15</v>
      </c>
      <c r="G138" s="8" t="s">
        <v>25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309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309</v>
      </c>
      <c r="J140" s="8" t="s">
        <v>21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165</v>
      </c>
      <c r="C141" s="8" t="s">
        <v>16</v>
      </c>
      <c r="D141" s="10">
        <v>45487</v>
      </c>
      <c r="E141" s="8" t="s">
        <v>17</v>
      </c>
      <c r="F141" s="11">
        <v>15</v>
      </c>
      <c r="G141" s="8" t="s">
        <v>18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309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309</v>
      </c>
      <c r="J143" s="8" t="s">
        <v>21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21</v>
      </c>
      <c r="F144" s="11">
        <v>15</v>
      </c>
      <c r="G144" s="8" t="s">
        <v>25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309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309</v>
      </c>
      <c r="J146" s="8" t="s">
        <v>21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22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309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309</v>
      </c>
      <c r="J149" s="8" t="s">
        <v>21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174</v>
      </c>
      <c r="C150" s="8" t="s">
        <v>16</v>
      </c>
      <c r="D150" s="10">
        <v>45496</v>
      </c>
      <c r="E150" s="8" t="s">
        <v>21</v>
      </c>
      <c r="F150" s="11">
        <v>15</v>
      </c>
      <c r="G150" s="8" t="s">
        <v>18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309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309</v>
      </c>
      <c r="J152" s="8" t="s">
        <v>21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25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309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309</v>
      </c>
      <c r="J155" s="8" t="s">
        <v>21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180</v>
      </c>
      <c r="C156" s="8" t="s">
        <v>16</v>
      </c>
      <c r="D156" s="10">
        <v>45502</v>
      </c>
      <c r="E156" s="8" t="s">
        <v>21</v>
      </c>
      <c r="F156" s="11">
        <v>15</v>
      </c>
      <c r="G156" s="8" t="s">
        <v>18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309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309</v>
      </c>
      <c r="J158" s="8" t="s">
        <v>21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183</v>
      </c>
      <c r="C159" s="8" t="s">
        <v>16</v>
      </c>
      <c r="D159" s="10">
        <v>45505</v>
      </c>
      <c r="E159" s="8" t="s">
        <v>17</v>
      </c>
      <c r="F159" s="11">
        <v>15</v>
      </c>
      <c r="G159" s="8" t="s">
        <v>22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309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309</v>
      </c>
      <c r="J161" s="8" t="s">
        <v>21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85</v>
      </c>
      <c r="C162" s="8" t="s">
        <v>16</v>
      </c>
      <c r="D162" s="10">
        <v>45508</v>
      </c>
      <c r="E162" s="8" t="s">
        <v>21</v>
      </c>
      <c r="F162" s="11">
        <v>15</v>
      </c>
      <c r="G162" s="8" t="s">
        <v>18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309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309</v>
      </c>
      <c r="J164" s="8" t="s">
        <v>21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25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309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309</v>
      </c>
      <c r="J167" s="8" t="s">
        <v>21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117</v>
      </c>
      <c r="C168" s="8" t="s">
        <v>16</v>
      </c>
      <c r="D168" s="10">
        <v>45514</v>
      </c>
      <c r="E168" s="8" t="s">
        <v>21</v>
      </c>
      <c r="F168" s="11">
        <v>15</v>
      </c>
      <c r="G168" s="8" t="s">
        <v>18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309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309</v>
      </c>
      <c r="J170" s="8" t="s">
        <v>21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22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309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309</v>
      </c>
      <c r="J173" s="8" t="s">
        <v>21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196</v>
      </c>
      <c r="C174" s="8" t="s">
        <v>16</v>
      </c>
      <c r="D174" s="10">
        <v>45520</v>
      </c>
      <c r="E174" s="8" t="s">
        <v>21</v>
      </c>
      <c r="F174" s="11">
        <v>15</v>
      </c>
      <c r="G174" s="8" t="s">
        <v>18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309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309</v>
      </c>
      <c r="J176" s="8" t="s">
        <v>21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309</v>
      </c>
      <c r="J177" s="8" t="s">
        <v>21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200</v>
      </c>
      <c r="C178" s="8" t="s">
        <v>16</v>
      </c>
      <c r="D178" s="10">
        <v>45524</v>
      </c>
      <c r="E178" s="8" t="s">
        <v>21</v>
      </c>
      <c r="F178" s="11">
        <v>15</v>
      </c>
      <c r="G178" s="8" t="s">
        <v>25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309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309</v>
      </c>
      <c r="J180" s="8" t="s">
        <v>21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203</v>
      </c>
      <c r="C181" s="8" t="s">
        <v>16</v>
      </c>
      <c r="D181" s="10">
        <v>45527</v>
      </c>
      <c r="E181" s="8" t="s">
        <v>17</v>
      </c>
      <c r="F181" s="11">
        <v>15</v>
      </c>
      <c r="G181" s="8" t="s">
        <v>18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309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309</v>
      </c>
      <c r="J183" s="8" t="s">
        <v>21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21</v>
      </c>
      <c r="F184" s="11">
        <v>15</v>
      </c>
      <c r="G184" s="8" t="s">
        <v>25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309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309</v>
      </c>
      <c r="J186" s="8" t="s">
        <v>21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22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309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309</v>
      </c>
      <c r="J189" s="8" t="s">
        <v>21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212</v>
      </c>
      <c r="C190" s="8" t="s">
        <v>16</v>
      </c>
      <c r="D190" s="10">
        <v>45536</v>
      </c>
      <c r="E190" s="8" t="s">
        <v>21</v>
      </c>
      <c r="F190" s="11">
        <v>15</v>
      </c>
      <c r="G190" s="8" t="s">
        <v>18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309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309</v>
      </c>
      <c r="J192" s="8" t="s">
        <v>21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25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309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309</v>
      </c>
      <c r="J195" s="8" t="s">
        <v>21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216</v>
      </c>
      <c r="C196" s="8" t="s">
        <v>16</v>
      </c>
      <c r="D196" s="10">
        <v>45542</v>
      </c>
      <c r="E196" s="8" t="s">
        <v>21</v>
      </c>
      <c r="F196" s="11">
        <v>15</v>
      </c>
      <c r="G196" s="8" t="s">
        <v>18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309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309</v>
      </c>
      <c r="J198" s="8" t="s">
        <v>21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22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309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309</v>
      </c>
      <c r="J201" s="8" t="s">
        <v>21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221</v>
      </c>
      <c r="C202" s="8" t="s">
        <v>16</v>
      </c>
      <c r="D202" s="10">
        <v>45548</v>
      </c>
      <c r="E202" s="8" t="s">
        <v>21</v>
      </c>
      <c r="F202" s="11">
        <v>15</v>
      </c>
      <c r="G202" s="8" t="s">
        <v>18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309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309</v>
      </c>
      <c r="J204" s="8" t="s">
        <v>21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224</v>
      </c>
      <c r="C205" s="8" t="s">
        <v>16</v>
      </c>
      <c r="D205" s="10">
        <v>45551</v>
      </c>
      <c r="E205" s="8" t="s">
        <v>17</v>
      </c>
      <c r="F205" s="11">
        <v>15</v>
      </c>
      <c r="G205" s="8" t="s">
        <v>25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309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309</v>
      </c>
      <c r="J207" s="8" t="s">
        <v>21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227</v>
      </c>
      <c r="C208" s="8" t="s">
        <v>16</v>
      </c>
      <c r="D208" s="10">
        <v>45554</v>
      </c>
      <c r="E208" s="8" t="s">
        <v>21</v>
      </c>
      <c r="F208" s="11">
        <v>15</v>
      </c>
      <c r="G208" s="8" t="s">
        <v>25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309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309</v>
      </c>
      <c r="J210" s="8" t="s">
        <v>21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230</v>
      </c>
      <c r="C211" s="8" t="s">
        <v>16</v>
      </c>
      <c r="D211" s="10">
        <v>45557</v>
      </c>
      <c r="E211" s="8" t="s">
        <v>17</v>
      </c>
      <c r="F211" s="11">
        <v>15</v>
      </c>
      <c r="G211" s="8" t="s">
        <v>18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309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309</v>
      </c>
      <c r="J213" s="8" t="s">
        <v>21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233</v>
      </c>
      <c r="C214" s="8" t="s">
        <v>16</v>
      </c>
      <c r="D214" s="10">
        <v>45560</v>
      </c>
      <c r="E214" s="8" t="s">
        <v>21</v>
      </c>
      <c r="F214" s="11">
        <v>15</v>
      </c>
      <c r="G214" s="8" t="s">
        <v>25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309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309</v>
      </c>
      <c r="J216" s="8" t="s">
        <v>21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235</v>
      </c>
      <c r="C217" s="8" t="s">
        <v>16</v>
      </c>
      <c r="D217" s="10">
        <v>45563</v>
      </c>
      <c r="E217" s="8" t="s">
        <v>17</v>
      </c>
      <c r="F217" s="11">
        <v>15</v>
      </c>
      <c r="G217" s="8" t="s">
        <v>22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309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309</v>
      </c>
      <c r="J219" s="8" t="s">
        <v>21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238</v>
      </c>
      <c r="C220" s="8" t="s">
        <v>16</v>
      </c>
      <c r="D220" s="10">
        <v>45566</v>
      </c>
      <c r="E220" s="8" t="s">
        <v>21</v>
      </c>
      <c r="F220" s="11">
        <v>15</v>
      </c>
      <c r="G220" s="8" t="s">
        <v>18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309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309</v>
      </c>
      <c r="J222" s="8" t="s">
        <v>21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25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309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309</v>
      </c>
      <c r="J225" s="8" t="s">
        <v>21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21</v>
      </c>
      <c r="F226" s="11">
        <v>15</v>
      </c>
      <c r="G226" s="8" t="s">
        <v>18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309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309</v>
      </c>
      <c r="J228" s="8" t="s">
        <v>21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22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309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309</v>
      </c>
      <c r="J231" s="8" t="s">
        <v>21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247</v>
      </c>
      <c r="C232" s="8" t="s">
        <v>16</v>
      </c>
      <c r="D232" s="10">
        <v>45578</v>
      </c>
      <c r="E232" s="8" t="s">
        <v>21</v>
      </c>
      <c r="F232" s="11">
        <v>15</v>
      </c>
      <c r="G232" s="8" t="s">
        <v>18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309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309</v>
      </c>
      <c r="J234" s="8" t="s">
        <v>21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250</v>
      </c>
      <c r="C235" s="8" t="s">
        <v>16</v>
      </c>
      <c r="D235" s="10">
        <v>45581</v>
      </c>
      <c r="E235" s="8" t="s">
        <v>17</v>
      </c>
      <c r="F235" s="11">
        <v>15</v>
      </c>
      <c r="G235" s="8" t="s">
        <v>25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309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309</v>
      </c>
      <c r="J237" s="8" t="s">
        <v>21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253</v>
      </c>
      <c r="C238" s="8" t="s">
        <v>16</v>
      </c>
      <c r="D238" s="10">
        <v>45584</v>
      </c>
      <c r="E238" s="8" t="s">
        <v>21</v>
      </c>
      <c r="F238" s="11">
        <v>15</v>
      </c>
      <c r="G238" s="8" t="s">
        <v>18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309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309</v>
      </c>
      <c r="J240" s="8" t="s">
        <v>21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256</v>
      </c>
      <c r="C241" s="8" t="s">
        <v>16</v>
      </c>
      <c r="D241" s="10">
        <v>45587</v>
      </c>
      <c r="E241" s="8" t="s">
        <v>17</v>
      </c>
      <c r="F241" s="11">
        <v>15</v>
      </c>
      <c r="G241" s="8" t="s">
        <v>22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309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309</v>
      </c>
      <c r="J243" s="8" t="s">
        <v>21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167</v>
      </c>
      <c r="C244" s="8" t="s">
        <v>16</v>
      </c>
      <c r="D244" s="10">
        <v>45590</v>
      </c>
      <c r="E244" s="8" t="s">
        <v>21</v>
      </c>
      <c r="F244" s="11">
        <v>15</v>
      </c>
      <c r="G244" s="8" t="s">
        <v>18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309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309</v>
      </c>
      <c r="J246" s="8" t="s">
        <v>21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261</v>
      </c>
      <c r="C247" s="8" t="s">
        <v>16</v>
      </c>
      <c r="D247" s="10">
        <v>45593</v>
      </c>
      <c r="E247" s="8" t="s">
        <v>17</v>
      </c>
      <c r="F247" s="11">
        <v>15</v>
      </c>
      <c r="G247" s="8" t="s">
        <v>25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309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309</v>
      </c>
      <c r="J249" s="8" t="s">
        <v>21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264</v>
      </c>
      <c r="C250" s="8" t="s">
        <v>16</v>
      </c>
      <c r="D250" s="10">
        <v>45596</v>
      </c>
      <c r="E250" s="8" t="s">
        <v>21</v>
      </c>
      <c r="F250" s="11">
        <v>15</v>
      </c>
      <c r="G250" s="8" t="s">
        <v>18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309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309</v>
      </c>
      <c r="J252" s="8" t="s">
        <v>21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267</v>
      </c>
      <c r="C253" s="8" t="s">
        <v>16</v>
      </c>
      <c r="D253" s="10">
        <v>45599</v>
      </c>
      <c r="E253" s="8" t="s">
        <v>17</v>
      </c>
      <c r="F253" s="11">
        <v>15</v>
      </c>
      <c r="G253" s="8" t="s">
        <v>22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309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309</v>
      </c>
      <c r="J255" s="8" t="s">
        <v>21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270</v>
      </c>
      <c r="C256" s="8" t="s">
        <v>16</v>
      </c>
      <c r="D256" s="10">
        <v>45602</v>
      </c>
      <c r="E256" s="8" t="s">
        <v>21</v>
      </c>
      <c r="F256" s="11">
        <v>15</v>
      </c>
      <c r="G256" s="8" t="s">
        <v>18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309</v>
      </c>
      <c r="J257" s="8" t="s">
        <v>21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272</v>
      </c>
      <c r="C258" s="8" t="s">
        <v>16</v>
      </c>
      <c r="D258" s="10">
        <v>45604</v>
      </c>
      <c r="E258" s="8" t="s">
        <v>21</v>
      </c>
      <c r="F258" s="11">
        <v>15</v>
      </c>
      <c r="G258" s="8" t="s">
        <v>25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309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309</v>
      </c>
      <c r="J260" s="8" t="s">
        <v>21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18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309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309</v>
      </c>
      <c r="J263" s="8" t="s">
        <v>21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21</v>
      </c>
      <c r="F264" s="11">
        <v>15</v>
      </c>
      <c r="G264" s="8" t="s">
        <v>25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309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309</v>
      </c>
      <c r="J266" s="8" t="s">
        <v>21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281</v>
      </c>
      <c r="C267" s="8" t="s">
        <v>16</v>
      </c>
      <c r="D267" s="10">
        <v>45613</v>
      </c>
      <c r="E267" s="8" t="s">
        <v>17</v>
      </c>
      <c r="F267" s="11">
        <v>15</v>
      </c>
      <c r="G267" s="8" t="s">
        <v>22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309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309</v>
      </c>
      <c r="J269" s="8" t="s">
        <v>21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21</v>
      </c>
      <c r="F270" s="11">
        <v>15</v>
      </c>
      <c r="G270" s="8" t="s">
        <v>18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309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309</v>
      </c>
      <c r="J272" s="8" t="s">
        <v>21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25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309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309</v>
      </c>
      <c r="J275" s="8" t="s">
        <v>21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21</v>
      </c>
      <c r="F276" s="11">
        <v>15</v>
      </c>
      <c r="G276" s="8" t="s">
        <v>18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309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309</v>
      </c>
      <c r="J278" s="8" t="s">
        <v>21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292</v>
      </c>
      <c r="C279" s="8" t="s">
        <v>16</v>
      </c>
      <c r="D279" s="10">
        <v>45625</v>
      </c>
      <c r="E279" s="8" t="s">
        <v>17</v>
      </c>
      <c r="F279" s="11">
        <v>15</v>
      </c>
      <c r="G279" s="8" t="s">
        <v>22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309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309</v>
      </c>
      <c r="J281" s="8" t="s">
        <v>21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21</v>
      </c>
      <c r="F282" s="11">
        <v>15</v>
      </c>
      <c r="G282" s="8" t="s">
        <v>18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309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309</v>
      </c>
      <c r="J284" s="8" t="s">
        <v>21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298</v>
      </c>
      <c r="C285" s="8" t="s">
        <v>16</v>
      </c>
      <c r="D285" s="10">
        <v>45631</v>
      </c>
      <c r="E285" s="8" t="s">
        <v>17</v>
      </c>
      <c r="F285" s="11">
        <v>15</v>
      </c>
      <c r="G285" s="8" t="s">
        <v>25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309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309</v>
      </c>
      <c r="J287" s="8" t="s">
        <v>21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208</v>
      </c>
      <c r="C288" s="8" t="s">
        <v>16</v>
      </c>
      <c r="D288" s="10">
        <v>45634</v>
      </c>
      <c r="E288" s="8" t="s">
        <v>21</v>
      </c>
      <c r="F288" s="11">
        <v>15</v>
      </c>
      <c r="G288" s="8" t="s">
        <v>18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309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309</v>
      </c>
      <c r="J290" s="8" t="s">
        <v>21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301</v>
      </c>
      <c r="C291" s="8" t="s">
        <v>16</v>
      </c>
      <c r="D291" s="10">
        <v>45637</v>
      </c>
      <c r="E291" s="8" t="s">
        <v>17</v>
      </c>
      <c r="F291" s="11">
        <v>15</v>
      </c>
      <c r="G291" s="8" t="s">
        <v>22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309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309</v>
      </c>
      <c r="J293" s="8" t="s">
        <v>21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304</v>
      </c>
      <c r="C294" s="8" t="s">
        <v>16</v>
      </c>
      <c r="D294" s="10">
        <v>45640</v>
      </c>
      <c r="E294" s="8" t="s">
        <v>21</v>
      </c>
      <c r="F294" s="11">
        <v>15</v>
      </c>
      <c r="G294" s="8" t="s">
        <v>18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309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309</v>
      </c>
      <c r="J296" s="8" t="s">
        <v>21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7"/>
  <sheetViews>
    <sheetView showGridLines="0" topLeftCell="A10" workbookViewId="0">
      <selection activeCell="E37" sqref="E37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3" x14ac:dyDescent="0.25">
      <c r="B3" t="s">
        <v>311</v>
      </c>
    </row>
    <row r="6" spans="2:3" x14ac:dyDescent="0.25">
      <c r="B6" t="s">
        <v>312</v>
      </c>
    </row>
    <row r="7" spans="2:3" x14ac:dyDescent="0.25">
      <c r="B7" t="s">
        <v>316</v>
      </c>
    </row>
    <row r="9" spans="2:3" x14ac:dyDescent="0.25">
      <c r="B9" s="12" t="s">
        <v>14</v>
      </c>
      <c r="C9" t="s">
        <v>25</v>
      </c>
    </row>
    <row r="11" spans="2:3" x14ac:dyDescent="0.25">
      <c r="B11" s="12" t="s">
        <v>313</v>
      </c>
      <c r="C11" t="s">
        <v>315</v>
      </c>
    </row>
    <row r="12" spans="2:3" x14ac:dyDescent="0.25">
      <c r="B12" s="13" t="s">
        <v>21</v>
      </c>
      <c r="C12" s="14">
        <v>806</v>
      </c>
    </row>
    <row r="13" spans="2:3" x14ac:dyDescent="0.25">
      <c r="B13" s="13" t="s">
        <v>17</v>
      </c>
      <c r="C13" s="14">
        <v>1502</v>
      </c>
    </row>
    <row r="14" spans="2:3" x14ac:dyDescent="0.25">
      <c r="B14" s="13" t="s">
        <v>314</v>
      </c>
      <c r="C14" s="14">
        <v>2308</v>
      </c>
    </row>
    <row r="18" spans="2:5" x14ac:dyDescent="0.25">
      <c r="B18" t="s">
        <v>320</v>
      </c>
    </row>
    <row r="20" spans="2:5" x14ac:dyDescent="0.25">
      <c r="B20" s="12" t="s">
        <v>14</v>
      </c>
      <c r="C20" t="s">
        <v>25</v>
      </c>
    </row>
    <row r="22" spans="2:5" x14ac:dyDescent="0.25">
      <c r="B22" s="12" t="s">
        <v>313</v>
      </c>
      <c r="C22" t="s">
        <v>322</v>
      </c>
    </row>
    <row r="23" spans="2:5" x14ac:dyDescent="0.25">
      <c r="B23" s="13" t="s">
        <v>20</v>
      </c>
      <c r="C23" s="17">
        <v>0</v>
      </c>
    </row>
    <row r="24" spans="2:5" x14ac:dyDescent="0.25">
      <c r="B24" s="13" t="s">
        <v>24</v>
      </c>
      <c r="C24" s="17">
        <v>0</v>
      </c>
    </row>
    <row r="25" spans="2:5" x14ac:dyDescent="0.25">
      <c r="B25" s="13" t="s">
        <v>16</v>
      </c>
      <c r="C25" s="17">
        <v>990</v>
      </c>
    </row>
    <row r="26" spans="2:5" x14ac:dyDescent="0.25">
      <c r="B26" s="13" t="s">
        <v>314</v>
      </c>
      <c r="C26" s="17">
        <v>990</v>
      </c>
      <c r="E26" s="18">
        <f>GETPIVOTDATA("EA Play Season Pass
Price",$B$22)</f>
        <v>990</v>
      </c>
    </row>
    <row r="29" spans="2:5" x14ac:dyDescent="0.25">
      <c r="B29" t="s">
        <v>323</v>
      </c>
    </row>
    <row r="31" spans="2:5" x14ac:dyDescent="0.25">
      <c r="B31" s="12" t="s">
        <v>14</v>
      </c>
      <c r="C31" t="s">
        <v>25</v>
      </c>
    </row>
    <row r="33" spans="2:5" x14ac:dyDescent="0.25">
      <c r="B33" s="12" t="s">
        <v>313</v>
      </c>
      <c r="C33" t="s">
        <v>321</v>
      </c>
    </row>
    <row r="34" spans="2:5" x14ac:dyDescent="0.25">
      <c r="B34" s="13" t="s">
        <v>20</v>
      </c>
      <c r="C34" s="14">
        <v>0</v>
      </c>
    </row>
    <row r="35" spans="2:5" x14ac:dyDescent="0.25">
      <c r="B35" s="13" t="s">
        <v>24</v>
      </c>
      <c r="C35" s="14">
        <v>480</v>
      </c>
    </row>
    <row r="36" spans="2:5" x14ac:dyDescent="0.25">
      <c r="B36" s="13" t="s">
        <v>16</v>
      </c>
      <c r="C36" s="14">
        <v>660</v>
      </c>
    </row>
    <row r="37" spans="2:5" x14ac:dyDescent="0.25">
      <c r="B37" s="13" t="s">
        <v>314</v>
      </c>
      <c r="C37" s="14">
        <v>1140</v>
      </c>
      <c r="E37" s="18">
        <f>GETPIVOTDATA("Minecraft Season Pass Price",$B$33)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X76"/>
  <sheetViews>
    <sheetView showGridLines="0" showRowColHeaders="0" tabSelected="1" zoomScale="80" zoomScaleNormal="80" workbookViewId="0">
      <selection activeCell="U47" sqref="U4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2.7109375" style="5" customWidth="1"/>
    <col min="2" max="2" width="3.5703125" customWidth="1"/>
    <col min="12" max="12" width="6.5703125" customWidth="1"/>
  </cols>
  <sheetData>
    <row r="2" spans="2:50" ht="39" customHeight="1" thickBot="1" x14ac:dyDescent="0.5">
      <c r="C2" s="19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2:50" ht="15.75" thickTop="1" x14ac:dyDescent="0.25"/>
    <row r="4" spans="2:50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 spans="2:50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2:50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2:50" ht="12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2:50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2:50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2:50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2:50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2:50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2:50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2:50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2:50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2:50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2:50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2:50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2:50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2:50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2:50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2:50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2:50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2:50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2:50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2:50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2:50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2:50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2:50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2:50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2:50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2:50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2:50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2:50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2:50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2:50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2:50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2:50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2:50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2:50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2:50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2:50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2:50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2:50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2:50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2:50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2:50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2:50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2:50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2:50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2:50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2:50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2:50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2:50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2:50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2:50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2:50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2:50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2:50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2:50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2:50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2:50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2:50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2:50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2:50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2:50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2:50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2:50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2:50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2:50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2:50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2:50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2:50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2:50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2:50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2:50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Thalita Moura</cp:lastModifiedBy>
  <dcterms:created xsi:type="dcterms:W3CDTF">2024-12-19T13:13:10Z</dcterms:created>
  <dcterms:modified xsi:type="dcterms:W3CDTF">2026-10-18T23:03:20Z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